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<sst xmlns="http://schemas.openxmlformats.org/spreadsheetml/2006/main" count="271" uniqueCount="173">
  <si>
    <t>模块</t>
  </si>
  <si>
    <t>课程</t>
  </si>
  <si>
    <t>项目主管</t>
  </si>
  <si>
    <t>每期天数</t>
  </si>
  <si>
    <t>期数</t>
  </si>
  <si>
    <t>培训费</t>
  </si>
  <si>
    <t>均价</t>
  </si>
  <si>
    <t>1月</t>
  </si>
  <si>
    <t>2月</t>
  </si>
  <si>
    <t>3月</t>
  </si>
  <si>
    <t>4月</t>
  </si>
  <si>
    <t>5月</t>
  </si>
  <si>
    <t>6月</t>
  </si>
  <si>
    <t>7月</t>
  </si>
  <si>
    <t>8月</t>
  </si>
  <si>
    <t>9月</t>
  </si>
  <si>
    <t>10月</t>
  </si>
  <si>
    <t>11月</t>
  </si>
  <si>
    <t>12月</t>
  </si>
  <si>
    <t>备注</t>
  </si>
  <si>
    <t>综合管理</t>
  </si>
  <si>
    <t>首席财务官高级研修班（第34期）</t>
  </si>
  <si>
    <t>王春懿</t>
  </si>
  <si>
    <t>15</t>
  </si>
  <si>
    <t>11-13/上海</t>
  </si>
  <si>
    <t>16-18/上海</t>
  </si>
  <si>
    <t>13-15/上海</t>
  </si>
  <si>
    <t>17-19/上海</t>
  </si>
  <si>
    <t>15-17/上海</t>
  </si>
  <si>
    <t>企业经营管理“头雁人才”培养计划——产融结合助力新质生产力培育研修班（第2期）</t>
  </si>
  <si>
    <t>于学涛</t>
  </si>
  <si>
    <t>17</t>
  </si>
  <si>
    <t>财务精英的战略与商业课程</t>
  </si>
  <si>
    <t>曹巧波</t>
  </si>
  <si>
    <t>18-20/上海</t>
  </si>
  <si>
    <t>23-25/上海</t>
  </si>
  <si>
    <t>12-14/上海</t>
  </si>
  <si>
    <t>10-12/上海</t>
  </si>
  <si>
    <t>国有企业高级财务管理人员研修班</t>
  </si>
  <si>
    <t>14-16上海
30-31/线上</t>
  </si>
  <si>
    <t>AI浪潮下财务人员履职能力提升</t>
  </si>
  <si>
    <t>曹宁</t>
  </si>
  <si>
    <t>4</t>
  </si>
  <si>
    <t>23-26/上海</t>
  </si>
  <si>
    <t>29-1/上海</t>
  </si>
  <si>
    <t>16-19/上海</t>
  </si>
  <si>
    <t>25-28/上海</t>
  </si>
  <si>
    <t>非财高管</t>
  </si>
  <si>
    <t>非财高管的财报分析与管理决策</t>
  </si>
  <si>
    <t>钱梦敏</t>
  </si>
  <si>
    <t>11-12/上海</t>
  </si>
  <si>
    <t>8-9上海</t>
  </si>
  <si>
    <t>非财高管的财务管理与价值创造</t>
  </si>
  <si>
    <t>3</t>
  </si>
  <si>
    <t>2-4/上海</t>
  </si>
  <si>
    <t>6-8/上海</t>
  </si>
  <si>
    <t>管理会计</t>
  </si>
  <si>
    <t>业财融合实务与财务BP核心能力建设</t>
  </si>
  <si>
    <t>马晓楚</t>
  </si>
  <si>
    <t>线上5100/线下6000</t>
  </si>
  <si>
    <t>27-29/上海</t>
  </si>
  <si>
    <t>26-28/上海</t>
  </si>
  <si>
    <t>一利五率指标体系与企业高质量发展</t>
  </si>
  <si>
    <t>26-27/上海</t>
  </si>
  <si>
    <t>25-26/上海院外</t>
  </si>
  <si>
    <t>全面预算管理体系建设与标杆企业实践</t>
  </si>
  <si>
    <t>21-23/成都</t>
  </si>
  <si>
    <t>20-22/沈阳</t>
  </si>
  <si>
    <t>19-21/深圳</t>
  </si>
  <si>
    <t>企业成本管控全流程优化：方法、工具与难点、痛点解析</t>
  </si>
  <si>
    <t>胡洁</t>
  </si>
  <si>
    <t>2</t>
  </si>
  <si>
    <t>线上3400/线下4000</t>
  </si>
  <si>
    <t>24-25/上海</t>
  </si>
  <si>
    <t>23-24/上海</t>
  </si>
  <si>
    <t>全面预算管理与成本控制</t>
  </si>
  <si>
    <t>4000</t>
  </si>
  <si>
    <t>27-28/上海</t>
  </si>
  <si>
    <t>17-18/青岛</t>
  </si>
  <si>
    <t>公司金融</t>
  </si>
  <si>
    <t>公司并购与重组</t>
  </si>
  <si>
    <t>5</t>
  </si>
  <si>
    <t>26-30/上海</t>
  </si>
  <si>
    <t>24-28/上海</t>
  </si>
  <si>
    <t>企业IPO财税规范</t>
  </si>
  <si>
    <t>市值管理实务与案例</t>
  </si>
  <si>
    <t>22-24/上海</t>
  </si>
  <si>
    <t>24-26/上海</t>
  </si>
  <si>
    <t>30-1/上海</t>
  </si>
  <si>
    <t>公司估值与企业价值管理</t>
  </si>
  <si>
    <t>16-17/上海</t>
  </si>
  <si>
    <t>财务分析与企业价值创造</t>
  </si>
  <si>
    <t>14-15/上海</t>
  </si>
  <si>
    <t>微咨询课程：资金管理与司库体系建设</t>
  </si>
  <si>
    <t>20-21/上海</t>
  </si>
  <si>
    <t>风险合规</t>
  </si>
  <si>
    <t>企业数字化内控实践</t>
  </si>
  <si>
    <t>杨子沣</t>
  </si>
  <si>
    <t>25-26/杭州</t>
  </si>
  <si>
    <t>22-23/上海</t>
  </si>
  <si>
    <t>微咨询课程：穿透式监管视角下的企业内控升级与一流企业风险管控实践</t>
  </si>
  <si>
    <t>线上4800/线下5600</t>
  </si>
  <si>
    <t>21-23/上海院外</t>
  </si>
  <si>
    <t>内部控制审计实务与案例</t>
  </si>
  <si>
    <t>31-1/上海</t>
  </si>
  <si>
    <t>高风险业务经营价值挖掘与风控实务</t>
  </si>
  <si>
    <t>21-22/青岛</t>
  </si>
  <si>
    <t>内审实务</t>
  </si>
  <si>
    <t>内部审计负责人与后备人才岗位能力提升</t>
  </si>
  <si>
    <t>20-22/上海</t>
  </si>
  <si>
    <t>内部审计专业能力提升：高舞弊业务审计实务与案例</t>
  </si>
  <si>
    <t>12-13/杭州</t>
  </si>
  <si>
    <t>“人工智能+”驱动下的内部审计管理与变革</t>
  </si>
  <si>
    <t>28-29/杭州</t>
  </si>
  <si>
    <t>25-26/上海</t>
  </si>
  <si>
    <t>风险导向审计实务与案例</t>
  </si>
  <si>
    <t>工程项目审计实务</t>
  </si>
  <si>
    <t>24-25/苏州</t>
  </si>
  <si>
    <t>19-20/宁波</t>
  </si>
  <si>
    <t>21-22/贵阳</t>
  </si>
  <si>
    <t>22-23/青岛</t>
  </si>
  <si>
    <t>24-25/深圳</t>
  </si>
  <si>
    <t>中国企业出海系列课程：海外审计创新实践与风险治理专题</t>
  </si>
  <si>
    <t>AI浪潮下采购全流程风险管理与审计实务</t>
  </si>
  <si>
    <t>线上3900/线下4500</t>
  </si>
  <si>
    <t>19-20/合肥</t>
  </si>
  <si>
    <t>23-25/成都</t>
  </si>
  <si>
    <t>26-27/广州</t>
  </si>
  <si>
    <t>经济责任审计实务与案例：穿透式核查与整改闭环管理</t>
  </si>
  <si>
    <t>14-15/杭州</t>
  </si>
  <si>
    <t>20-21/宁波</t>
  </si>
  <si>
    <t>22-23/武汉</t>
  </si>
  <si>
    <t>合规审计与反舞弊调查</t>
  </si>
  <si>
    <t>5600</t>
  </si>
  <si>
    <t>14-16/上海</t>
  </si>
  <si>
    <t>25-27/宁波</t>
  </si>
  <si>
    <t>9-11/上海</t>
  </si>
  <si>
    <t>数智转型</t>
  </si>
  <si>
    <t>走进蒙牛：数字化转型之智慧财务共享</t>
  </si>
  <si>
    <t>11-12/呼和浩特</t>
  </si>
  <si>
    <t>走进美的数字化高级研修班</t>
  </si>
  <si>
    <t>21-22/顺德</t>
  </si>
  <si>
    <t>20-21/顺德</t>
  </si>
  <si>
    <t>拥抱AI系列课程：美的AI工作坊</t>
  </si>
  <si>
    <t>29-30/上海</t>
  </si>
  <si>
    <t>拥抱AI系列课程：AI赋能智能财务创新与实践</t>
  </si>
  <si>
    <t>人工智能大模型财务应用暨电子凭证会计数据标准应用与会计档案无纸化</t>
  </si>
  <si>
    <t>4500</t>
  </si>
  <si>
    <t>9-10/上海院外</t>
  </si>
  <si>
    <t>会计准则</t>
  </si>
  <si>
    <t>会计准则执行中热点难点问题解析</t>
  </si>
  <si>
    <t>21-22/长沙</t>
  </si>
  <si>
    <t>25-26/青岛</t>
  </si>
  <si>
    <t>税务管理</t>
  </si>
  <si>
    <t>名师课堂：税务专题课程（模块制）</t>
  </si>
  <si>
    <t>32000/9800（单模块）</t>
  </si>
  <si>
    <t>26-29/上海</t>
  </si>
  <si>
    <t>21-24/上海</t>
  </si>
  <si>
    <t>17-20/上海</t>
  </si>
  <si>
    <t>新型监管机制下的企业税务稽查与风险应对</t>
  </si>
  <si>
    <t>22-24/青岛</t>
  </si>
  <si>
    <t>股权交易、股权架构设计与并购重组的税务风险排查与实案演练</t>
  </si>
  <si>
    <t>20-22/上海院外</t>
  </si>
  <si>
    <t>增值税法及实施条例全面解析与风险防范</t>
  </si>
  <si>
    <t>17-18/上海</t>
  </si>
  <si>
    <t>26-27/武汉</t>
  </si>
  <si>
    <t>行业课程</t>
  </si>
  <si>
    <t>中国企业出海系列课程：事务所跨境服务专题</t>
  </si>
  <si>
    <t>中国企业出海系列课程：财税合规专题</t>
  </si>
  <si>
    <t>30-31/上海</t>
  </si>
  <si>
    <t>中国企业出海系列课程：跨境电商专题</t>
  </si>
  <si>
    <t>破产业务综合能力提升</t>
  </si>
  <si>
    <t>事务所核心能力进阶研修班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</si>
</sst>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1"/>
      <color rgb="FF0D0D0D"/>
      <name val="等线"/>
      <charset val="134"/>
      <scheme val="minor"/>
    </font>
    <font>
      <u/>
      <sz val="11"/>
      <color theme="10"/>
      <name val="等线"/>
      <charset val="134"/>
      <scheme val="minor"/>
    </font>
    <font>
      <sz val="11"/>
      <color rgb="FF000000"/>
      <name val="等线"/>
      <charset val="134"/>
      <scheme val="minor"/>
    </font>
    <font>
      <sz val="11"/>
      <color rgb="FF0D0D0D"/>
      <name val="等线"/>
      <charset val="134"/>
      <scheme val="minor"/>
    </font>
    <font>
      <u/>
      <sz val="11"/>
      <color rgb="FF0563C1"/>
      <name val="等线"/>
      <charset val="134"/>
      <scheme val="minor"/>
    </font>
    <font>
      <sz val="11"/>
      <color theme="0"/>
      <name val="等线"/>
      <charset val="134"/>
      <scheme val="minor"/>
    </font>
    <font>
      <sz val="11"/>
      <color rgb="FFFF0000"/>
      <name val="等线"/>
      <charset val="134"/>
      <scheme val="minor"/>
    </font>
    <font>
      <sz val="11"/>
      <color rgb="FFFFFFFF"/>
      <name val="等线"/>
      <charset val="134"/>
      <scheme val="minor"/>
    </font>
    <font>
      <sz val="11"/>
      <color theme="1"/>
      <name val="等线"/>
      <charset val="134"/>
      <scheme val="minor"/>
    </font>
    <font>
      <sz val="11"/>
      <color rgb="FF00B0F0"/>
      <name val="等线"/>
      <charset val="134"/>
      <scheme val="minor"/>
    </font>
    <font>
      <sz val="10"/>
      <color rgb="FF000000"/>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2" fillId="0" borderId="0" applyNumberFormat="0" applyFill="0" applyBorder="0" applyAlignment="0" applyProtection="0"/>
    <xf numFmtId="0" fontId="13" fillId="0" borderId="0" applyNumberFormat="0" applyFill="0" applyBorder="0" applyAlignment="0" applyProtection="0">
      <alignment vertical="center"/>
    </xf>
    <xf numFmtId="0" fontId="12" fillId="4" borderId="1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2" applyNumberFormat="0" applyFill="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19" fillId="0" borderId="0" applyNumberFormat="0" applyFill="0" applyBorder="0" applyAlignment="0" applyProtection="0">
      <alignment vertical="center"/>
    </xf>
    <xf numFmtId="0" fontId="20" fillId="5" borderId="14" applyNumberFormat="0" applyAlignment="0" applyProtection="0">
      <alignment vertical="center"/>
    </xf>
    <xf numFmtId="0" fontId="21" fillId="6" borderId="15" applyNumberFormat="0" applyAlignment="0" applyProtection="0">
      <alignment vertical="center"/>
    </xf>
    <xf numFmtId="0" fontId="22" fillId="6" borderId="14" applyNumberFormat="0" applyAlignment="0" applyProtection="0">
      <alignment vertical="center"/>
    </xf>
    <xf numFmtId="0" fontId="23" fillId="7" borderId="16" applyNumberFormat="0" applyAlignment="0" applyProtection="0">
      <alignment vertical="center"/>
    </xf>
    <xf numFmtId="0" fontId="24" fillId="0" borderId="17" applyNumberFormat="0" applyFill="0" applyAlignment="0" applyProtection="0">
      <alignment vertical="center"/>
    </xf>
    <xf numFmtId="0" fontId="25" fillId="0" borderId="18"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70">
    <xf numFmtId="0" fontId="0" fillId="0" borderId="0" xfId="0"/>
    <xf numFmtId="49" fontId="1" fillId="2" borderId="1" xfId="0" applyNumberFormat="1" applyFont="1" applyFill="1" applyBorder="1" applyAlignment="1">
      <alignment horizontal="left" vertical="center"/>
    </xf>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left" vertical="center" wrapText="1"/>
    </xf>
    <xf numFmtId="49" fontId="1" fillId="2" borderId="2" xfId="0" applyNumberFormat="1" applyFont="1" applyFill="1" applyBorder="1" applyAlignment="1">
      <alignment horizontal="center" vertical="center"/>
    </xf>
    <xf numFmtId="49" fontId="1" fillId="2" borderId="0" xfId="0" applyNumberFormat="1" applyFont="1" applyFill="1" applyAlignment="1">
      <alignment horizontal="left" vertical="center"/>
    </xf>
    <xf numFmtId="49" fontId="1" fillId="2" borderId="3" xfId="0" applyNumberFormat="1" applyFont="1" applyFill="1" applyBorder="1" applyAlignment="1">
      <alignment horizontal="left" vertical="center"/>
    </xf>
    <xf numFmtId="0" fontId="2" fillId="2" borderId="1" xfId="6" applyFill="1" applyBorder="1" applyAlignment="1">
      <alignment horizontal="left" vertical="center"/>
    </xf>
    <xf numFmtId="0" fontId="3" fillId="2" borderId="1" xfId="0" applyFont="1" applyFill="1" applyBorder="1" applyAlignment="1">
      <alignment horizontal="center" vertical="center"/>
    </xf>
    <xf numFmtId="49"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1" fontId="4" fillId="2" borderId="1" xfId="0" applyNumberFormat="1" applyFont="1" applyFill="1" applyBorder="1" applyAlignment="1">
      <alignment horizontal="center" vertical="center"/>
    </xf>
    <xf numFmtId="0" fontId="4" fillId="3" borderId="4" xfId="0" applyFont="1" applyFill="1" applyBorder="1" applyAlignment="1">
      <alignment horizontal="center" vertical="center"/>
    </xf>
    <xf numFmtId="49" fontId="4" fillId="3" borderId="1" xfId="0" applyNumberFormat="1" applyFont="1" applyFill="1" applyBorder="1" applyAlignment="1">
      <alignment horizontal="center" vertical="center"/>
    </xf>
    <xf numFmtId="49" fontId="4" fillId="3" borderId="2" xfId="0" applyNumberFormat="1" applyFont="1" applyFill="1" applyBorder="1" applyAlignment="1">
      <alignment horizontal="center" vertical="center"/>
    </xf>
    <xf numFmtId="49" fontId="4" fillId="2" borderId="0" xfId="0" applyNumberFormat="1" applyFont="1" applyFill="1" applyAlignment="1">
      <alignment horizontal="left" vertical="center"/>
    </xf>
    <xf numFmtId="49" fontId="1" fillId="2" borderId="5" xfId="0" applyNumberFormat="1" applyFont="1" applyFill="1" applyBorder="1" applyAlignment="1">
      <alignment horizontal="left" vertical="center"/>
    </xf>
    <xf numFmtId="49" fontId="2" fillId="2" borderId="1" xfId="6" applyNumberFormat="1" applyFill="1" applyBorder="1" applyAlignment="1">
      <alignment horizontal="left" vertical="center"/>
    </xf>
    <xf numFmtId="0" fontId="3" fillId="3" borderId="4" xfId="0" applyFont="1" applyFill="1" applyBorder="1" applyAlignment="1">
      <alignment vertical="center"/>
    </xf>
    <xf numFmtId="49" fontId="5" fillId="2" borderId="1" xfId="0" applyNumberFormat="1" applyFont="1" applyFill="1" applyBorder="1" applyAlignment="1">
      <alignment horizontal="left" vertical="center"/>
    </xf>
    <xf numFmtId="49" fontId="4" fillId="3" borderId="4" xfId="0" applyNumberFormat="1" applyFont="1" applyFill="1" applyBorder="1" applyAlignment="1">
      <alignment horizontal="center" vertical="center"/>
    </xf>
    <xf numFmtId="49" fontId="4" fillId="3" borderId="2" xfId="0" applyNumberFormat="1" applyFont="1" applyFill="1" applyBorder="1" applyAlignment="1">
      <alignment horizontal="center" vertical="center" wrapText="1"/>
    </xf>
    <xf numFmtId="0" fontId="4" fillId="3" borderId="2" xfId="0" applyFont="1" applyFill="1" applyBorder="1" applyAlignment="1">
      <alignment horizontal="center" vertical="center"/>
    </xf>
    <xf numFmtId="49" fontId="3" fillId="3" borderId="2" xfId="0" applyNumberFormat="1" applyFont="1" applyFill="1" applyBorder="1" applyAlignment="1">
      <alignment horizontal="center" vertical="center"/>
    </xf>
    <xf numFmtId="49" fontId="1" fillId="2" borderId="6" xfId="0" applyNumberFormat="1" applyFont="1" applyFill="1" applyBorder="1" applyAlignment="1">
      <alignment horizontal="left" vertical="center"/>
    </xf>
    <xf numFmtId="0" fontId="5" fillId="2" borderId="1" xfId="0" applyFont="1" applyFill="1" applyBorder="1" applyAlignment="1">
      <alignment horizontal="left" vertical="center"/>
    </xf>
    <xf numFmtId="49" fontId="3" fillId="3" borderId="2" xfId="0" applyNumberFormat="1" applyFont="1" applyFill="1" applyBorder="1" applyAlignment="1">
      <alignment horizontal="center" vertical="center" wrapText="1"/>
    </xf>
    <xf numFmtId="49" fontId="6" fillId="3" borderId="2" xfId="0" applyNumberFormat="1" applyFont="1" applyFill="1" applyBorder="1" applyAlignment="1">
      <alignment horizontal="center" vertical="center"/>
    </xf>
    <xf numFmtId="49" fontId="4" fillId="3" borderId="7" xfId="0" applyNumberFormat="1" applyFont="1" applyFill="1" applyBorder="1" applyAlignment="1">
      <alignment vertical="center"/>
    </xf>
    <xf numFmtId="49" fontId="4" fillId="3" borderId="4" xfId="0" applyNumberFormat="1" applyFont="1" applyFill="1" applyBorder="1" applyAlignment="1">
      <alignment vertical="center"/>
    </xf>
    <xf numFmtId="0" fontId="3" fillId="2" borderId="1" xfId="0" applyFont="1" applyFill="1" applyBorder="1" applyAlignment="1">
      <alignment horizontal="left" vertical="center"/>
    </xf>
    <xf numFmtId="49" fontId="7" fillId="3" borderId="2" xfId="0" applyNumberFormat="1" applyFont="1" applyFill="1" applyBorder="1" applyAlignment="1">
      <alignment horizontal="center" vertical="center"/>
    </xf>
    <xf numFmtId="49" fontId="3" fillId="0" borderId="1" xfId="0" applyNumberFormat="1" applyFont="1" applyBorder="1" applyAlignment="1">
      <alignment horizontal="left" vertical="center"/>
    </xf>
    <xf numFmtId="49" fontId="3" fillId="2" borderId="1" xfId="0" applyNumberFormat="1" applyFont="1" applyFill="1" applyBorder="1" applyAlignment="1">
      <alignment horizontal="center" vertical="center"/>
    </xf>
    <xf numFmtId="49" fontId="7" fillId="2" borderId="0" xfId="0" applyNumberFormat="1" applyFont="1" applyFill="1" applyAlignment="1">
      <alignment horizontal="left" vertical="center"/>
    </xf>
    <xf numFmtId="49" fontId="8" fillId="3" borderId="2" xfId="0" applyNumberFormat="1" applyFont="1" applyFill="1" applyBorder="1" applyAlignment="1">
      <alignment horizontal="center" vertical="center"/>
    </xf>
    <xf numFmtId="49" fontId="2" fillId="2" borderId="1" xfId="6" applyNumberFormat="1" applyFill="1" applyBorder="1" applyAlignment="1">
      <alignment horizontal="left" vertical="center" wrapText="1"/>
    </xf>
    <xf numFmtId="49" fontId="3" fillId="2" borderId="1" xfId="0" applyNumberFormat="1" applyFont="1" applyFill="1" applyBorder="1" applyAlignment="1">
      <alignment horizontal="left" vertical="center"/>
    </xf>
    <xf numFmtId="49" fontId="9" fillId="3" borderId="2" xfId="0" applyNumberFormat="1" applyFont="1" applyFill="1" applyBorder="1" applyAlignment="1">
      <alignment horizontal="center" vertical="center"/>
    </xf>
    <xf numFmtId="49" fontId="5" fillId="2" borderId="1" xfId="0" applyNumberFormat="1" applyFont="1" applyFill="1" applyBorder="1" applyAlignment="1">
      <alignment horizontal="left" vertical="center" wrapText="1"/>
    </xf>
    <xf numFmtId="0" fontId="3" fillId="0" borderId="1" xfId="0" applyFont="1" applyBorder="1" applyAlignment="1">
      <alignment horizontal="center" vertical="center"/>
    </xf>
    <xf numFmtId="49" fontId="4" fillId="2" borderId="1" xfId="0" applyNumberFormat="1" applyFont="1" applyFill="1" applyBorder="1" applyAlignment="1">
      <alignment horizontal="left" vertical="center"/>
    </xf>
    <xf numFmtId="49" fontId="10" fillId="3" borderId="2" xfId="0" applyNumberFormat="1" applyFont="1" applyFill="1" applyBorder="1" applyAlignment="1">
      <alignment horizontal="center" vertical="center"/>
    </xf>
    <xf numFmtId="49" fontId="2" fillId="3" borderId="1" xfId="6" applyNumberFormat="1" applyFill="1" applyBorder="1" applyAlignment="1">
      <alignment horizontal="left" vertical="center"/>
    </xf>
    <xf numFmtId="49" fontId="4" fillId="3" borderId="8" xfId="0" applyNumberFormat="1" applyFont="1" applyFill="1" applyBorder="1" applyAlignment="1">
      <alignment horizontal="center" vertical="center"/>
    </xf>
    <xf numFmtId="0" fontId="2" fillId="3" borderId="1" xfId="6" applyFill="1" applyBorder="1" applyAlignment="1">
      <alignment horizontal="left" vertical="center"/>
    </xf>
    <xf numFmtId="0" fontId="3" fillId="3" borderId="1" xfId="0" applyFont="1" applyFill="1" applyBorder="1" applyAlignment="1">
      <alignment horizontal="center" vertical="center"/>
    </xf>
    <xf numFmtId="0" fontId="4" fillId="3" borderId="8" xfId="0" applyFont="1" applyFill="1" applyBorder="1" applyAlignment="1">
      <alignment horizontal="center" vertical="center"/>
    </xf>
    <xf numFmtId="49" fontId="4" fillId="3" borderId="0" xfId="0" applyNumberFormat="1" applyFont="1" applyFill="1" applyAlignment="1">
      <alignment horizontal="center" vertical="center"/>
    </xf>
    <xf numFmtId="49" fontId="4" fillId="3" borderId="9" xfId="0" applyNumberFormat="1" applyFont="1" applyFill="1" applyBorder="1" applyAlignment="1">
      <alignment horizontal="center" vertical="center"/>
    </xf>
    <xf numFmtId="49" fontId="4" fillId="3" borderId="10" xfId="0" applyNumberFormat="1" applyFont="1" applyFill="1" applyBorder="1" applyAlignment="1">
      <alignment horizontal="center" vertical="center"/>
    </xf>
    <xf numFmtId="0" fontId="3" fillId="3" borderId="9" xfId="0" applyFont="1" applyFill="1" applyBorder="1" applyAlignment="1">
      <alignment vertical="center"/>
    </xf>
    <xf numFmtId="0" fontId="3" fillId="3" borderId="6" xfId="0" applyFont="1" applyFill="1" applyBorder="1" applyAlignment="1">
      <alignment vertical="center"/>
    </xf>
    <xf numFmtId="0" fontId="4" fillId="3" borderId="1" xfId="0" applyFont="1" applyFill="1" applyBorder="1" applyAlignment="1">
      <alignment horizontal="center" vertical="center"/>
    </xf>
    <xf numFmtId="49" fontId="5" fillId="3" borderId="1" xfId="0" applyNumberFormat="1" applyFont="1" applyFill="1" applyBorder="1" applyAlignment="1">
      <alignment horizontal="left" vertical="center"/>
    </xf>
    <xf numFmtId="0" fontId="3" fillId="3" borderId="2" xfId="0" applyFont="1" applyFill="1" applyBorder="1" applyAlignment="1">
      <alignment horizontal="center" vertical="center"/>
    </xf>
    <xf numFmtId="49" fontId="9" fillId="2" borderId="9" xfId="0" applyNumberFormat="1" applyFont="1" applyFill="1" applyBorder="1" applyAlignment="1">
      <alignment horizontal="center" vertical="center"/>
    </xf>
    <xf numFmtId="49" fontId="9" fillId="3" borderId="9" xfId="0" applyNumberFormat="1" applyFont="1" applyFill="1" applyBorder="1" applyAlignment="1">
      <alignment horizontal="center" vertical="center"/>
    </xf>
    <xf numFmtId="49" fontId="4" fillId="3" borderId="0" xfId="0" applyNumberFormat="1" applyFont="1" applyFill="1" applyAlignment="1">
      <alignment horizontal="left" vertical="center"/>
    </xf>
    <xf numFmtId="49" fontId="9" fillId="3" borderId="10" xfId="0" applyNumberFormat="1" applyFont="1" applyFill="1" applyBorder="1" applyAlignment="1">
      <alignment horizontal="center" vertical="center"/>
    </xf>
    <xf numFmtId="0" fontId="0" fillId="3" borderId="0" xfId="0" applyFill="1"/>
    <xf numFmtId="0" fontId="3" fillId="3" borderId="1" xfId="0" applyFont="1" applyFill="1" applyBorder="1" applyAlignment="1">
      <alignment vertical="center"/>
    </xf>
    <xf numFmtId="0" fontId="11" fillId="3" borderId="0" xfId="0" applyFont="1" applyFill="1" applyAlignment="1">
      <alignment vertical="center"/>
    </xf>
    <xf numFmtId="0" fontId="11" fillId="3" borderId="6" xfId="0" applyFont="1" applyFill="1" applyBorder="1" applyAlignment="1">
      <alignment horizontal="left" vertical="center"/>
    </xf>
    <xf numFmtId="0" fontId="11" fillId="3" borderId="0" xfId="0" applyFont="1" applyFill="1" applyAlignment="1">
      <alignment horizontal="left" vertical="center"/>
    </xf>
    <xf numFmtId="49" fontId="1" fillId="2" borderId="1" xfId="0" applyNumberFormat="1" applyFont="1" applyFill="1" applyBorder="1" applyAlignment="1">
      <alignment vertical="center"/>
    </xf>
    <xf numFmtId="0" fontId="3" fillId="2" borderId="1" xfId="0" applyFont="1" applyFill="1" applyBorder="1" applyAlignment="1">
      <alignment vertical="center"/>
    </xf>
    <xf numFmtId="0" fontId="11" fillId="2"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edp.snai.edu/kc/69858.html" TargetMode="External"/><Relationship Id="rId8" Type="http://schemas.openxmlformats.org/officeDocument/2006/relationships/hyperlink" Target="https://edp.snai.edu/kc/69865.html" TargetMode="External"/><Relationship Id="rId7" Type="http://schemas.openxmlformats.org/officeDocument/2006/relationships/hyperlink" Target="https://edp.snai.edu/kc/82270.html" TargetMode="External"/><Relationship Id="rId6" Type="http://schemas.openxmlformats.org/officeDocument/2006/relationships/hyperlink" Target="https://edp.snai.edu/kc/75976.html" TargetMode="External"/><Relationship Id="rId5" Type="http://schemas.openxmlformats.org/officeDocument/2006/relationships/hyperlink" Target="https://edp.snai.edu/kc/70617.html" TargetMode="External"/><Relationship Id="rId4" Type="http://schemas.openxmlformats.org/officeDocument/2006/relationships/hyperlink" Target="https://edp.snai.edu/kc/78140.html" TargetMode="External"/><Relationship Id="rId30" Type="http://schemas.openxmlformats.org/officeDocument/2006/relationships/hyperlink" Target="https://edp.snai.edu/kc/73729.html" TargetMode="External"/><Relationship Id="rId3" Type="http://schemas.openxmlformats.org/officeDocument/2006/relationships/hyperlink" Target="https://edp.snai.edu/kc/81439.html" TargetMode="External"/><Relationship Id="rId29" Type="http://schemas.openxmlformats.org/officeDocument/2006/relationships/hyperlink" Target="https://edp.snai.edu/kc/69800.html" TargetMode="External"/><Relationship Id="rId28" Type="http://schemas.openxmlformats.org/officeDocument/2006/relationships/hyperlink" Target="https://edp.snai.edu/kc/79405.html" TargetMode="External"/><Relationship Id="rId27" Type="http://schemas.openxmlformats.org/officeDocument/2006/relationships/hyperlink" Target="https://edp.snai.edu/kc/81039.html" TargetMode="External"/><Relationship Id="rId26" Type="http://schemas.openxmlformats.org/officeDocument/2006/relationships/hyperlink" Target="https://edp.snai.edu/kc/77839.html" TargetMode="External"/><Relationship Id="rId25" Type="http://schemas.openxmlformats.org/officeDocument/2006/relationships/hyperlink" Target="https://edp.snai.edu/kc/69892.html" TargetMode="External"/><Relationship Id="rId24" Type="http://schemas.openxmlformats.org/officeDocument/2006/relationships/hyperlink" Target="https://edp.snai.edu/kc/77843.html" TargetMode="External"/><Relationship Id="rId23" Type="http://schemas.openxmlformats.org/officeDocument/2006/relationships/hyperlink" Target="https://edp.snai.edu/kc/69889.html" TargetMode="External"/><Relationship Id="rId22" Type="http://schemas.openxmlformats.org/officeDocument/2006/relationships/hyperlink" Target="https://edp.snai.edu/kc/77841.html" TargetMode="External"/><Relationship Id="rId21" Type="http://schemas.openxmlformats.org/officeDocument/2006/relationships/hyperlink" Target="https://edp.snai.edu/kc/73794.html" TargetMode="External"/><Relationship Id="rId20" Type="http://schemas.openxmlformats.org/officeDocument/2006/relationships/hyperlink" Target="https://edp.snai.edu/kc/78496.html" TargetMode="External"/><Relationship Id="rId2" Type="http://schemas.openxmlformats.org/officeDocument/2006/relationships/hyperlink" Target="https://edp.snai.edu/kc/81723.html" TargetMode="External"/><Relationship Id="rId19" Type="http://schemas.openxmlformats.org/officeDocument/2006/relationships/hyperlink" Target="https://edp.snai.edu/kc/77876.html" TargetMode="External"/><Relationship Id="rId18" Type="http://schemas.openxmlformats.org/officeDocument/2006/relationships/hyperlink" Target="https://edp.snai.edu/kc/77861.html" TargetMode="External"/><Relationship Id="rId17" Type="http://schemas.openxmlformats.org/officeDocument/2006/relationships/hyperlink" Target="https://edp.snai.edu/kc/81526.html" TargetMode="External"/><Relationship Id="rId16" Type="http://schemas.openxmlformats.org/officeDocument/2006/relationships/hyperlink" Target="https://edp.snai.edu/kc/79932.html" TargetMode="External"/><Relationship Id="rId15" Type="http://schemas.openxmlformats.org/officeDocument/2006/relationships/hyperlink" Target="https://edp.snai.edu/kc/77223.html" TargetMode="External"/><Relationship Id="rId14" Type="http://schemas.openxmlformats.org/officeDocument/2006/relationships/hyperlink" Target="https://edp.snai.edu/kc/73825.html" TargetMode="External"/><Relationship Id="rId13" Type="http://schemas.openxmlformats.org/officeDocument/2006/relationships/hyperlink" Target="https://edp.snai.edu/kc/69883.html" TargetMode="External"/><Relationship Id="rId12" Type="http://schemas.openxmlformats.org/officeDocument/2006/relationships/hyperlink" Target="https://edp.snai.edu/kc/81734.html" TargetMode="External"/><Relationship Id="rId11" Type="http://schemas.openxmlformats.org/officeDocument/2006/relationships/hyperlink" Target="https://edp.snai.edu/kc/74616.html" TargetMode="External"/><Relationship Id="rId10" Type="http://schemas.openxmlformats.org/officeDocument/2006/relationships/hyperlink" Target="https://edp.snai.edu/kc/69880.html" TargetMode="External"/><Relationship Id="rId1" Type="http://schemas.openxmlformats.org/officeDocument/2006/relationships/hyperlink" Target="https://edp.snai.edu/kc/69958.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48"/>
  <sheetViews>
    <sheetView tabSelected="1" zoomScale="90" zoomScaleNormal="90" workbookViewId="0">
      <pane ySplit="1" topLeftCell="A3" activePane="bottomLeft" state="frozen"/>
      <selection/>
      <selection pane="bottomLeft" activeCell="H12" sqref="H12"/>
    </sheetView>
  </sheetViews>
  <sheetFormatPr defaultColWidth="9" defaultRowHeight="14"/>
  <cols>
    <col min="2" max="2" width="70.5" customWidth="1"/>
    <col min="5" max="5" width="6.39166666666667" customWidth="1"/>
    <col min="6" max="6" width="21.5" customWidth="1"/>
    <col min="11" max="11" width="11.25" customWidth="1"/>
  </cols>
  <sheetData>
    <row r="1" spans="1:20">
      <c r="A1" s="1" t="s">
        <v>0</v>
      </c>
      <c r="B1" s="1" t="s">
        <v>1</v>
      </c>
      <c r="C1" s="2" t="s">
        <v>2</v>
      </c>
      <c r="D1" s="2" t="s">
        <v>3</v>
      </c>
      <c r="E1" s="3" t="s">
        <v>4</v>
      </c>
      <c r="F1" s="4" t="s">
        <v>5</v>
      </c>
      <c r="G1" s="3" t="s">
        <v>6</v>
      </c>
      <c r="H1" s="5" t="s">
        <v>7</v>
      </c>
      <c r="I1" s="5" t="s">
        <v>8</v>
      </c>
      <c r="J1" s="5" t="s">
        <v>9</v>
      </c>
      <c r="K1" s="5" t="s">
        <v>10</v>
      </c>
      <c r="L1" s="5" t="s">
        <v>11</v>
      </c>
      <c r="M1" s="5" t="s">
        <v>12</v>
      </c>
      <c r="N1" s="5" t="s">
        <v>13</v>
      </c>
      <c r="O1" s="5" t="s">
        <v>14</v>
      </c>
      <c r="P1" s="5" t="s">
        <v>15</v>
      </c>
      <c r="Q1" s="5" t="s">
        <v>16</v>
      </c>
      <c r="R1" s="5" t="s">
        <v>17</v>
      </c>
      <c r="S1" s="5" t="s">
        <v>18</v>
      </c>
      <c r="T1" s="6" t="s">
        <v>19</v>
      </c>
    </row>
    <row r="2" spans="1:20">
      <c r="A2" s="7" t="s">
        <v>20</v>
      </c>
      <c r="B2" s="8" t="s">
        <v>21</v>
      </c>
      <c r="C2" s="9" t="s">
        <v>22</v>
      </c>
      <c r="D2" s="10" t="s">
        <v>23</v>
      </c>
      <c r="E2" s="11">
        <v>1</v>
      </c>
      <c r="F2" s="12">
        <v>44800</v>
      </c>
      <c r="G2" s="13">
        <v>2987</v>
      </c>
      <c r="H2" s="14"/>
      <c r="I2" s="15"/>
      <c r="J2" s="16"/>
      <c r="K2" s="16"/>
      <c r="L2" s="16"/>
      <c r="M2" s="16" t="s">
        <v>24</v>
      </c>
      <c r="N2" s="16" t="s">
        <v>25</v>
      </c>
      <c r="O2" s="16" t="s">
        <v>26</v>
      </c>
      <c r="P2" s="16" t="s">
        <v>27</v>
      </c>
      <c r="Q2" s="16" t="s">
        <v>28</v>
      </c>
      <c r="R2" s="16"/>
      <c r="S2" s="16"/>
      <c r="T2" s="17"/>
    </row>
    <row r="3" spans="1:20">
      <c r="A3" s="18"/>
      <c r="B3" s="19" t="s">
        <v>29</v>
      </c>
      <c r="C3" s="9" t="s">
        <v>30</v>
      </c>
      <c r="D3" s="10" t="s">
        <v>31</v>
      </c>
      <c r="E3" s="11">
        <v>1</v>
      </c>
      <c r="F3" s="12">
        <v>68000</v>
      </c>
      <c r="G3" s="13">
        <v>4000</v>
      </c>
      <c r="H3" s="14"/>
      <c r="I3" s="20"/>
      <c r="J3" s="16"/>
      <c r="K3" s="16"/>
      <c r="L3" s="16"/>
      <c r="M3" s="16"/>
      <c r="N3" s="16"/>
      <c r="O3" s="16"/>
      <c r="P3" s="16"/>
      <c r="Q3" s="16"/>
      <c r="R3" s="16"/>
      <c r="S3" s="16"/>
      <c r="T3" s="17"/>
    </row>
    <row r="4" spans="1:20">
      <c r="A4" s="18"/>
      <c r="B4" s="21" t="s">
        <v>32</v>
      </c>
      <c r="C4" s="9" t="s">
        <v>33</v>
      </c>
      <c r="D4" s="11">
        <v>15</v>
      </c>
      <c r="E4" s="11">
        <v>1</v>
      </c>
      <c r="F4" s="12">
        <v>68000</v>
      </c>
      <c r="G4" s="13">
        <v>4533</v>
      </c>
      <c r="H4" s="14"/>
      <c r="I4" s="22"/>
      <c r="J4" s="16"/>
      <c r="K4" s="16"/>
      <c r="L4" s="23"/>
      <c r="M4" s="16"/>
      <c r="N4" s="16" t="s">
        <v>27</v>
      </c>
      <c r="O4" s="16"/>
      <c r="P4" s="16" t="s">
        <v>34</v>
      </c>
      <c r="Q4" s="16" t="s">
        <v>35</v>
      </c>
      <c r="R4" s="16" t="s">
        <v>36</v>
      </c>
      <c r="S4" s="16" t="s">
        <v>37</v>
      </c>
      <c r="T4" s="17"/>
    </row>
    <row r="5" ht="56" spans="1:20">
      <c r="A5" s="18"/>
      <c r="B5" s="19" t="s">
        <v>38</v>
      </c>
      <c r="C5" s="9" t="s">
        <v>22</v>
      </c>
      <c r="D5" s="11">
        <v>5</v>
      </c>
      <c r="E5" s="11">
        <v>1</v>
      </c>
      <c r="F5" s="12">
        <v>9800</v>
      </c>
      <c r="G5" s="13">
        <v>1960</v>
      </c>
      <c r="H5" s="24"/>
      <c r="I5" s="15"/>
      <c r="J5" s="16"/>
      <c r="K5" s="16"/>
      <c r="L5" s="23" t="s">
        <v>39</v>
      </c>
      <c r="M5" s="16"/>
      <c r="N5" s="16"/>
      <c r="O5" s="16"/>
      <c r="P5" s="16"/>
      <c r="Q5" s="16"/>
      <c r="R5" s="25"/>
      <c r="S5" s="16"/>
      <c r="T5" s="17"/>
    </row>
    <row r="6" spans="1:20">
      <c r="A6" s="26"/>
      <c r="B6" s="19" t="s">
        <v>40</v>
      </c>
      <c r="C6" s="9" t="s">
        <v>41</v>
      </c>
      <c r="D6" s="10" t="s">
        <v>42</v>
      </c>
      <c r="E6" s="11">
        <v>4</v>
      </c>
      <c r="F6" s="12">
        <v>6800</v>
      </c>
      <c r="G6" s="13">
        <v>1700</v>
      </c>
      <c r="H6" s="24"/>
      <c r="I6" s="16"/>
      <c r="J6" s="16"/>
      <c r="K6" s="16" t="s">
        <v>43</v>
      </c>
      <c r="L6" s="16"/>
      <c r="M6" s="16"/>
      <c r="N6" s="16" t="s">
        <v>44</v>
      </c>
      <c r="O6" s="16"/>
      <c r="P6" s="16" t="s">
        <v>45</v>
      </c>
      <c r="Q6" s="16"/>
      <c r="R6" s="16" t="s">
        <v>46</v>
      </c>
      <c r="S6" s="16"/>
      <c r="T6" s="17"/>
    </row>
    <row r="7" spans="1:20">
      <c r="A7" s="7" t="s">
        <v>47</v>
      </c>
      <c r="B7" s="27" t="s">
        <v>48</v>
      </c>
      <c r="C7" s="9" t="s">
        <v>49</v>
      </c>
      <c r="D7" s="11">
        <v>2</v>
      </c>
      <c r="E7" s="11">
        <v>2</v>
      </c>
      <c r="F7" s="12">
        <v>9800</v>
      </c>
      <c r="G7" s="13">
        <v>4900</v>
      </c>
      <c r="H7" s="24"/>
      <c r="I7" s="28"/>
      <c r="J7" s="25"/>
      <c r="K7" s="25" t="s">
        <v>50</v>
      </c>
      <c r="L7" s="25"/>
      <c r="M7" s="25"/>
      <c r="N7" s="25"/>
      <c r="O7" s="25" t="s">
        <v>51</v>
      </c>
      <c r="P7" s="25"/>
      <c r="Q7" s="25"/>
      <c r="R7" s="25"/>
      <c r="S7" s="25"/>
      <c r="T7" s="17"/>
    </row>
    <row r="8" spans="1:20">
      <c r="A8" s="26"/>
      <c r="B8" s="8" t="s">
        <v>52</v>
      </c>
      <c r="C8" s="9" t="s">
        <v>41</v>
      </c>
      <c r="D8" s="10" t="s">
        <v>53</v>
      </c>
      <c r="E8" s="11">
        <v>2</v>
      </c>
      <c r="F8" s="12">
        <v>6800</v>
      </c>
      <c r="G8" s="13">
        <v>2267</v>
      </c>
      <c r="H8" s="24"/>
      <c r="I8" s="16"/>
      <c r="J8" s="16"/>
      <c r="K8" s="16"/>
      <c r="L8" s="29"/>
      <c r="M8" s="16" t="s">
        <v>54</v>
      </c>
      <c r="N8" s="16"/>
      <c r="O8" s="16"/>
      <c r="P8" s="16"/>
      <c r="Q8" s="30"/>
      <c r="R8" s="31" t="s">
        <v>55</v>
      </c>
      <c r="S8" s="16"/>
      <c r="T8" s="17"/>
    </row>
    <row r="9" spans="1:20">
      <c r="A9" s="7" t="s">
        <v>56</v>
      </c>
      <c r="B9" s="8" t="s">
        <v>57</v>
      </c>
      <c r="C9" s="9" t="s">
        <v>58</v>
      </c>
      <c r="D9" s="10" t="s">
        <v>53</v>
      </c>
      <c r="E9" s="11">
        <v>2</v>
      </c>
      <c r="F9" s="32" t="s">
        <v>59</v>
      </c>
      <c r="G9" s="13">
        <v>2000</v>
      </c>
      <c r="H9" s="24"/>
      <c r="I9" s="16"/>
      <c r="J9" s="16"/>
      <c r="K9" s="16"/>
      <c r="L9" s="16"/>
      <c r="M9" s="16"/>
      <c r="N9" s="16" t="s">
        <v>60</v>
      </c>
      <c r="O9" s="16"/>
      <c r="P9" s="16"/>
      <c r="Q9" s="16" t="s">
        <v>61</v>
      </c>
      <c r="R9" s="16"/>
      <c r="S9" s="16"/>
      <c r="T9" s="17"/>
    </row>
    <row r="10" spans="1:20">
      <c r="A10" s="18"/>
      <c r="B10" s="19" t="s">
        <v>62</v>
      </c>
      <c r="C10" s="9" t="s">
        <v>22</v>
      </c>
      <c r="D10" s="11">
        <v>2</v>
      </c>
      <c r="E10" s="11">
        <v>2</v>
      </c>
      <c r="F10" s="12">
        <v>4000</v>
      </c>
      <c r="G10" s="13">
        <v>2000</v>
      </c>
      <c r="H10" s="24"/>
      <c r="I10" s="16"/>
      <c r="J10" s="16" t="s">
        <v>63</v>
      </c>
      <c r="K10" s="16"/>
      <c r="L10" s="33"/>
      <c r="M10" s="16" t="s">
        <v>64</v>
      </c>
      <c r="N10" s="16"/>
      <c r="O10" s="16"/>
      <c r="P10" s="16"/>
      <c r="Q10" s="16"/>
      <c r="R10" s="16"/>
      <c r="S10" s="16"/>
      <c r="T10" s="17"/>
    </row>
    <row r="11" spans="1:20">
      <c r="A11" s="18"/>
      <c r="B11" s="8" t="s">
        <v>65</v>
      </c>
      <c r="C11" s="9" t="s">
        <v>49</v>
      </c>
      <c r="D11" s="10" t="s">
        <v>53</v>
      </c>
      <c r="E11" s="11">
        <v>3</v>
      </c>
      <c r="F11" s="32" t="s">
        <v>59</v>
      </c>
      <c r="G11" s="13">
        <v>2267</v>
      </c>
      <c r="H11" s="24"/>
      <c r="I11" s="16"/>
      <c r="J11" s="16"/>
      <c r="K11" s="16"/>
      <c r="L11" s="16" t="s">
        <v>66</v>
      </c>
      <c r="M11" s="16"/>
      <c r="N11" s="16"/>
      <c r="O11" s="16" t="s">
        <v>67</v>
      </c>
      <c r="P11" s="16"/>
      <c r="Q11" s="16"/>
      <c r="R11" s="16" t="s">
        <v>68</v>
      </c>
      <c r="S11" s="16"/>
      <c r="T11" s="17"/>
    </row>
    <row r="12" spans="1:20">
      <c r="A12" s="18"/>
      <c r="B12" s="8" t="s">
        <v>69</v>
      </c>
      <c r="C12" s="9" t="s">
        <v>70</v>
      </c>
      <c r="D12" s="10" t="s">
        <v>71</v>
      </c>
      <c r="E12" s="11">
        <v>2</v>
      </c>
      <c r="F12" s="34" t="s">
        <v>72</v>
      </c>
      <c r="G12" s="13">
        <v>2000</v>
      </c>
      <c r="H12" s="24"/>
      <c r="I12" s="16"/>
      <c r="J12" s="16" t="s">
        <v>73</v>
      </c>
      <c r="K12" s="16"/>
      <c r="L12" s="16"/>
      <c r="M12" s="16" t="s">
        <v>74</v>
      </c>
      <c r="N12" s="16"/>
      <c r="O12" s="16"/>
      <c r="P12" s="16"/>
      <c r="Q12" s="16"/>
      <c r="R12" s="16"/>
      <c r="S12" s="16"/>
      <c r="T12" s="17"/>
    </row>
    <row r="13" spans="1:20">
      <c r="A13" s="26"/>
      <c r="B13" s="27" t="s">
        <v>75</v>
      </c>
      <c r="C13" s="9" t="s">
        <v>70</v>
      </c>
      <c r="D13" s="10" t="s">
        <v>71</v>
      </c>
      <c r="E13" s="11">
        <v>2</v>
      </c>
      <c r="F13" s="34" t="s">
        <v>76</v>
      </c>
      <c r="G13" s="13">
        <v>2000</v>
      </c>
      <c r="H13" s="24"/>
      <c r="I13" s="16"/>
      <c r="J13" s="16"/>
      <c r="K13" s="16" t="s">
        <v>77</v>
      </c>
      <c r="L13" s="16"/>
      <c r="M13" s="16"/>
      <c r="N13" s="16"/>
      <c r="O13" s="16"/>
      <c r="P13" s="16" t="s">
        <v>78</v>
      </c>
      <c r="Q13" s="16"/>
      <c r="R13" s="16"/>
      <c r="S13" s="16"/>
      <c r="T13" s="17"/>
    </row>
    <row r="14" spans="1:20">
      <c r="A14" s="7" t="s">
        <v>79</v>
      </c>
      <c r="B14" s="8" t="s">
        <v>80</v>
      </c>
      <c r="C14" s="9" t="s">
        <v>41</v>
      </c>
      <c r="D14" s="10" t="s">
        <v>81</v>
      </c>
      <c r="E14" s="11">
        <v>3</v>
      </c>
      <c r="F14" s="12">
        <v>9800</v>
      </c>
      <c r="G14" s="13">
        <v>1960</v>
      </c>
      <c r="H14" s="24"/>
      <c r="I14" s="16"/>
      <c r="J14" s="16"/>
      <c r="K14" s="16"/>
      <c r="L14" s="16" t="s">
        <v>82</v>
      </c>
      <c r="M14" s="16"/>
      <c r="N14" s="16"/>
      <c r="O14" s="16" t="s">
        <v>82</v>
      </c>
      <c r="P14" s="16"/>
      <c r="Q14" s="16"/>
      <c r="R14" s="16" t="s">
        <v>83</v>
      </c>
      <c r="S14" s="16"/>
      <c r="T14" s="17"/>
    </row>
    <row r="15" spans="1:20">
      <c r="A15" s="18"/>
      <c r="B15" s="8" t="s">
        <v>84</v>
      </c>
      <c r="C15" s="9" t="s">
        <v>41</v>
      </c>
      <c r="D15" s="35" t="s">
        <v>53</v>
      </c>
      <c r="E15" s="11">
        <v>1</v>
      </c>
      <c r="F15" s="32">
        <v>6800</v>
      </c>
      <c r="G15" s="13">
        <v>2267</v>
      </c>
      <c r="H15" s="24"/>
      <c r="I15" s="16"/>
      <c r="J15" s="16"/>
      <c r="K15" s="16"/>
      <c r="L15" s="16"/>
      <c r="M15" s="16"/>
      <c r="N15" s="16"/>
      <c r="O15" s="16"/>
      <c r="P15" s="16" t="s">
        <v>24</v>
      </c>
      <c r="Q15" s="16"/>
      <c r="R15" s="16"/>
      <c r="S15" s="16"/>
      <c r="T15" s="17"/>
    </row>
    <row r="16" spans="1:20">
      <c r="A16" s="18"/>
      <c r="B16" s="19" t="s">
        <v>85</v>
      </c>
      <c r="C16" s="9" t="s">
        <v>22</v>
      </c>
      <c r="D16" s="10" t="s">
        <v>71</v>
      </c>
      <c r="E16" s="11">
        <v>3</v>
      </c>
      <c r="F16" s="12">
        <v>4900</v>
      </c>
      <c r="G16" s="13">
        <v>2450</v>
      </c>
      <c r="H16" s="24"/>
      <c r="I16" s="16"/>
      <c r="J16" s="16"/>
      <c r="K16" s="16"/>
      <c r="L16" s="16" t="s">
        <v>86</v>
      </c>
      <c r="M16" s="16"/>
      <c r="N16" s="16" t="s">
        <v>87</v>
      </c>
      <c r="O16" s="16"/>
      <c r="P16" s="16"/>
      <c r="Q16" s="16" t="s">
        <v>88</v>
      </c>
      <c r="R16" s="16"/>
      <c r="S16" s="16"/>
      <c r="T16" s="17"/>
    </row>
    <row r="17" spans="1:20">
      <c r="A17" s="18"/>
      <c r="B17" s="8" t="s">
        <v>89</v>
      </c>
      <c r="C17" s="9" t="s">
        <v>30</v>
      </c>
      <c r="D17" s="10" t="s">
        <v>71</v>
      </c>
      <c r="E17" s="11">
        <v>1</v>
      </c>
      <c r="F17" s="12">
        <v>4500</v>
      </c>
      <c r="G17" s="13">
        <v>2250</v>
      </c>
      <c r="H17" s="24"/>
      <c r="I17" s="16"/>
      <c r="J17" s="16"/>
      <c r="K17" s="16"/>
      <c r="L17" s="16"/>
      <c r="M17" s="16"/>
      <c r="N17" s="16"/>
      <c r="O17" s="16"/>
      <c r="P17" s="16"/>
      <c r="Q17" s="16" t="s">
        <v>90</v>
      </c>
      <c r="R17" s="16"/>
      <c r="S17" s="16"/>
      <c r="T17" s="17"/>
    </row>
    <row r="18" spans="1:20">
      <c r="A18" s="18"/>
      <c r="B18" s="8" t="s">
        <v>91</v>
      </c>
      <c r="C18" s="9" t="s">
        <v>49</v>
      </c>
      <c r="D18" s="10" t="s">
        <v>71</v>
      </c>
      <c r="E18" s="11">
        <v>2</v>
      </c>
      <c r="F18" s="12">
        <v>9800</v>
      </c>
      <c r="G18" s="13">
        <v>4900</v>
      </c>
      <c r="H18" s="24"/>
      <c r="I18" s="16"/>
      <c r="J18" s="16"/>
      <c r="K18" s="33"/>
      <c r="L18" s="25" t="s">
        <v>92</v>
      </c>
      <c r="M18" s="25"/>
      <c r="N18" s="33"/>
      <c r="O18" s="25"/>
      <c r="P18" s="33"/>
      <c r="Q18" s="25"/>
      <c r="R18" s="25" t="s">
        <v>36</v>
      </c>
      <c r="S18" s="25"/>
      <c r="T18" s="36"/>
    </row>
    <row r="19" spans="1:20">
      <c r="A19" s="26"/>
      <c r="B19" s="19" t="s">
        <v>93</v>
      </c>
      <c r="C19" s="9" t="s">
        <v>58</v>
      </c>
      <c r="D19" s="10" t="s">
        <v>71</v>
      </c>
      <c r="E19" s="11">
        <v>1</v>
      </c>
      <c r="F19" s="12">
        <v>4800</v>
      </c>
      <c r="G19" s="13">
        <v>2400</v>
      </c>
      <c r="H19" s="24"/>
      <c r="I19" s="16"/>
      <c r="J19" s="16"/>
      <c r="K19" s="16"/>
      <c r="L19" s="16"/>
      <c r="M19" s="16"/>
      <c r="N19" s="16"/>
      <c r="O19" s="16"/>
      <c r="P19" s="16"/>
      <c r="Q19" s="37"/>
      <c r="R19" s="16" t="s">
        <v>94</v>
      </c>
      <c r="S19" s="16"/>
      <c r="T19" s="17"/>
    </row>
    <row r="20" spans="1:20">
      <c r="A20" s="7" t="s">
        <v>95</v>
      </c>
      <c r="B20" s="38" t="s">
        <v>96</v>
      </c>
      <c r="C20" s="9" t="s">
        <v>97</v>
      </c>
      <c r="D20" s="10" t="s">
        <v>71</v>
      </c>
      <c r="E20" s="11">
        <v>2</v>
      </c>
      <c r="F20" s="39" t="s">
        <v>72</v>
      </c>
      <c r="G20" s="13">
        <v>2000</v>
      </c>
      <c r="H20" s="24"/>
      <c r="I20" s="16"/>
      <c r="J20" s="16"/>
      <c r="K20" s="16"/>
      <c r="L20" s="16"/>
      <c r="M20" s="40" t="s">
        <v>98</v>
      </c>
      <c r="N20" s="16"/>
      <c r="O20" s="16"/>
      <c r="P20" s="33"/>
      <c r="Q20" s="40" t="s">
        <v>99</v>
      </c>
      <c r="R20" s="16"/>
      <c r="S20" s="16"/>
      <c r="T20" s="17"/>
    </row>
    <row r="21" ht="19.5" customHeight="1" spans="1:20">
      <c r="A21" s="18"/>
      <c r="B21" s="41" t="s">
        <v>100</v>
      </c>
      <c r="C21" s="9" t="s">
        <v>58</v>
      </c>
      <c r="D21" s="42">
        <v>3</v>
      </c>
      <c r="E21" s="11">
        <v>2</v>
      </c>
      <c r="F21" s="43" t="s">
        <v>101</v>
      </c>
      <c r="G21" s="13">
        <v>1867</v>
      </c>
      <c r="H21" s="24"/>
      <c r="I21" s="16"/>
      <c r="J21" s="16" t="s">
        <v>88</v>
      </c>
      <c r="K21" s="16"/>
      <c r="L21" s="16"/>
      <c r="M21" s="16"/>
      <c r="N21" s="16" t="s">
        <v>102</v>
      </c>
      <c r="O21" s="16"/>
      <c r="P21" s="16"/>
      <c r="Q21" s="16"/>
      <c r="R21" s="16"/>
      <c r="S21" s="16"/>
      <c r="T21" s="17"/>
    </row>
    <row r="22" spans="1:20">
      <c r="A22" s="18"/>
      <c r="B22" s="38" t="s">
        <v>103</v>
      </c>
      <c r="C22" s="9" t="s">
        <v>33</v>
      </c>
      <c r="D22" s="10" t="s">
        <v>71</v>
      </c>
      <c r="E22" s="11">
        <v>2</v>
      </c>
      <c r="F22" s="12">
        <v>4000</v>
      </c>
      <c r="G22" s="13">
        <v>2000</v>
      </c>
      <c r="H22" s="24"/>
      <c r="I22" s="16"/>
      <c r="J22" s="16"/>
      <c r="K22" s="16"/>
      <c r="L22" s="16"/>
      <c r="M22" s="16" t="s">
        <v>77</v>
      </c>
      <c r="N22" s="16"/>
      <c r="O22" s="16"/>
      <c r="P22" s="16"/>
      <c r="Q22" s="16"/>
      <c r="R22" s="16" t="s">
        <v>104</v>
      </c>
      <c r="S22" s="16"/>
      <c r="T22" s="17"/>
    </row>
    <row r="23" spans="1:20">
      <c r="A23" s="26"/>
      <c r="B23" s="19" t="s">
        <v>105</v>
      </c>
      <c r="C23" s="9" t="s">
        <v>70</v>
      </c>
      <c r="D23" s="10" t="s">
        <v>71</v>
      </c>
      <c r="E23" s="11">
        <v>2</v>
      </c>
      <c r="F23" s="39" t="s">
        <v>72</v>
      </c>
      <c r="G23" s="13">
        <v>2000</v>
      </c>
      <c r="H23" s="24"/>
      <c r="I23" s="16"/>
      <c r="J23" s="16" t="s">
        <v>77</v>
      </c>
      <c r="K23" s="16"/>
      <c r="L23" s="16"/>
      <c r="M23" s="16"/>
      <c r="N23" s="16"/>
      <c r="O23" s="16"/>
      <c r="P23" s="16" t="s">
        <v>106</v>
      </c>
      <c r="Q23" s="16"/>
      <c r="R23" s="16"/>
      <c r="S23" s="16"/>
      <c r="T23" s="17"/>
    </row>
    <row r="24" spans="1:20">
      <c r="A24" s="7" t="s">
        <v>107</v>
      </c>
      <c r="B24" s="19" t="s">
        <v>108</v>
      </c>
      <c r="C24" s="9" t="s">
        <v>22</v>
      </c>
      <c r="D24" s="11">
        <v>3</v>
      </c>
      <c r="E24" s="11">
        <v>2</v>
      </c>
      <c r="F24" s="12">
        <v>6800</v>
      </c>
      <c r="G24" s="13">
        <v>2267</v>
      </c>
      <c r="H24" s="24"/>
      <c r="I24" s="16"/>
      <c r="J24" s="16"/>
      <c r="K24" s="16" t="s">
        <v>45</v>
      </c>
      <c r="L24" s="16"/>
      <c r="M24" s="16"/>
      <c r="N24" s="16"/>
      <c r="O24" s="16"/>
      <c r="P24" s="16"/>
      <c r="Q24" s="44"/>
      <c r="R24" s="16" t="s">
        <v>109</v>
      </c>
      <c r="S24" s="16"/>
      <c r="T24" s="17"/>
    </row>
    <row r="25" spans="1:20">
      <c r="A25" s="18"/>
      <c r="B25" s="45" t="s">
        <v>110</v>
      </c>
      <c r="C25" s="9" t="s">
        <v>22</v>
      </c>
      <c r="D25" s="10" t="s">
        <v>71</v>
      </c>
      <c r="E25" s="11">
        <v>2</v>
      </c>
      <c r="F25" s="12">
        <v>4200</v>
      </c>
      <c r="G25" s="13">
        <v>2100</v>
      </c>
      <c r="H25" s="24"/>
      <c r="I25" s="16"/>
      <c r="J25" s="16"/>
      <c r="K25" s="16" t="s">
        <v>90</v>
      </c>
      <c r="L25" s="16"/>
      <c r="M25" s="16"/>
      <c r="N25" s="46"/>
      <c r="O25" s="46"/>
      <c r="P25" s="16" t="s">
        <v>111</v>
      </c>
      <c r="Q25" s="16"/>
      <c r="R25" s="16"/>
      <c r="S25" s="16"/>
      <c r="T25" s="17"/>
    </row>
    <row r="26" spans="1:20">
      <c r="A26" s="18"/>
      <c r="B26" s="47" t="s">
        <v>112</v>
      </c>
      <c r="C26" s="48" t="s">
        <v>41</v>
      </c>
      <c r="D26" s="10" t="s">
        <v>71</v>
      </c>
      <c r="E26" s="11">
        <v>2</v>
      </c>
      <c r="F26" s="12">
        <v>4200</v>
      </c>
      <c r="G26" s="13">
        <v>2100</v>
      </c>
      <c r="H26" s="49"/>
      <c r="I26" s="46"/>
      <c r="J26" s="46" t="s">
        <v>113</v>
      </c>
      <c r="K26" s="46"/>
      <c r="L26" s="46"/>
      <c r="M26" s="50"/>
      <c r="N26" s="51" t="s">
        <v>114</v>
      </c>
      <c r="O26" s="51"/>
      <c r="P26" s="46"/>
      <c r="Q26" s="46"/>
      <c r="R26" s="46"/>
      <c r="S26" s="46"/>
      <c r="T26" s="17"/>
    </row>
    <row r="27" spans="1:20">
      <c r="A27" s="18"/>
      <c r="B27" s="45" t="s">
        <v>115</v>
      </c>
      <c r="C27" s="9" t="s">
        <v>22</v>
      </c>
      <c r="D27" s="10" t="s">
        <v>71</v>
      </c>
      <c r="E27" s="11">
        <v>1</v>
      </c>
      <c r="F27" s="12">
        <v>4000</v>
      </c>
      <c r="G27" s="13">
        <v>2000</v>
      </c>
      <c r="H27" s="24"/>
      <c r="I27" s="16"/>
      <c r="J27" s="16"/>
      <c r="K27" s="16"/>
      <c r="L27" s="25"/>
      <c r="M27" s="52"/>
      <c r="N27" s="51"/>
      <c r="O27" s="53"/>
      <c r="P27" s="16"/>
      <c r="Q27" s="52"/>
      <c r="R27" s="54"/>
      <c r="S27" s="16" t="s">
        <v>90</v>
      </c>
      <c r="T27" s="17"/>
    </row>
    <row r="28" spans="1:20">
      <c r="A28" s="18"/>
      <c r="B28" s="45" t="s">
        <v>116</v>
      </c>
      <c r="C28" s="9" t="s">
        <v>41</v>
      </c>
      <c r="D28" s="11">
        <v>2</v>
      </c>
      <c r="E28" s="55">
        <v>6</v>
      </c>
      <c r="F28" s="43" t="s">
        <v>72</v>
      </c>
      <c r="G28" s="13">
        <v>2000</v>
      </c>
      <c r="H28" s="24" t="s">
        <v>99</v>
      </c>
      <c r="I28" s="16"/>
      <c r="J28" s="16" t="s">
        <v>117</v>
      </c>
      <c r="K28" s="16"/>
      <c r="L28" s="25" t="s">
        <v>118</v>
      </c>
      <c r="M28" s="52"/>
      <c r="N28" s="51" t="s">
        <v>119</v>
      </c>
      <c r="O28" s="51"/>
      <c r="P28" s="22" t="s">
        <v>120</v>
      </c>
      <c r="Q28" s="16"/>
      <c r="R28" s="16" t="s">
        <v>121</v>
      </c>
      <c r="S28" s="16"/>
      <c r="T28" s="17"/>
    </row>
    <row r="29" spans="1:20">
      <c r="A29" s="18"/>
      <c r="B29" s="56" t="s">
        <v>122</v>
      </c>
      <c r="C29" s="9" t="s">
        <v>22</v>
      </c>
      <c r="D29" s="10" t="s">
        <v>71</v>
      </c>
      <c r="E29" s="9">
        <v>1</v>
      </c>
      <c r="F29" s="12">
        <v>4800</v>
      </c>
      <c r="G29" s="13">
        <v>2400</v>
      </c>
      <c r="H29" s="57"/>
      <c r="I29" s="16"/>
      <c r="J29" s="16"/>
      <c r="K29" s="16"/>
      <c r="L29" s="16"/>
      <c r="M29" s="52" t="s">
        <v>77</v>
      </c>
      <c r="N29" s="51"/>
      <c r="O29" s="51"/>
      <c r="P29" s="44"/>
      <c r="Q29" s="16"/>
      <c r="R29" s="16"/>
      <c r="S29" s="16"/>
      <c r="T29" s="17"/>
    </row>
    <row r="30" spans="1:20">
      <c r="A30" s="18"/>
      <c r="B30" s="45" t="s">
        <v>123</v>
      </c>
      <c r="C30" s="9" t="s">
        <v>22</v>
      </c>
      <c r="D30" s="10" t="s">
        <v>71</v>
      </c>
      <c r="E30" s="9">
        <v>3</v>
      </c>
      <c r="F30" s="12" t="s">
        <v>124</v>
      </c>
      <c r="G30" s="13">
        <v>2250</v>
      </c>
      <c r="H30" s="57"/>
      <c r="I30" s="16"/>
      <c r="J30" s="16" t="s">
        <v>125</v>
      </c>
      <c r="K30" s="16"/>
      <c r="L30" s="16"/>
      <c r="M30" s="52"/>
      <c r="N30" s="58" t="s">
        <v>126</v>
      </c>
      <c r="O30" s="59"/>
      <c r="P30" s="44"/>
      <c r="Q30" s="16"/>
      <c r="R30" s="16" t="s">
        <v>127</v>
      </c>
      <c r="S30" s="16"/>
      <c r="T30" s="60"/>
    </row>
    <row r="31" spans="1:20">
      <c r="A31" s="18"/>
      <c r="B31" s="45" t="s">
        <v>128</v>
      </c>
      <c r="C31" s="9" t="s">
        <v>22</v>
      </c>
      <c r="D31" s="10" t="s">
        <v>71</v>
      </c>
      <c r="E31" s="11">
        <v>3</v>
      </c>
      <c r="F31" s="43" t="s">
        <v>72</v>
      </c>
      <c r="G31" s="13">
        <v>2000</v>
      </c>
      <c r="H31" s="24"/>
      <c r="I31" s="16"/>
      <c r="J31" s="16"/>
      <c r="K31" s="16"/>
      <c r="L31" s="25" t="s">
        <v>129</v>
      </c>
      <c r="M31" s="52"/>
      <c r="N31" s="59"/>
      <c r="O31" s="58" t="s">
        <v>130</v>
      </c>
      <c r="P31" s="16"/>
      <c r="Q31" s="16" t="s">
        <v>131</v>
      </c>
      <c r="R31" s="16"/>
      <c r="S31" s="16"/>
      <c r="T31" s="60"/>
    </row>
    <row r="32" spans="1:20">
      <c r="A32" s="26"/>
      <c r="B32" s="19" t="s">
        <v>132</v>
      </c>
      <c r="C32" s="9" t="s">
        <v>22</v>
      </c>
      <c r="D32" s="11">
        <v>3</v>
      </c>
      <c r="E32" s="11">
        <v>3</v>
      </c>
      <c r="F32" s="43" t="s">
        <v>133</v>
      </c>
      <c r="G32" s="13">
        <v>1867</v>
      </c>
      <c r="H32" s="24" t="s">
        <v>134</v>
      </c>
      <c r="I32" s="16"/>
      <c r="J32" s="16"/>
      <c r="K32" s="16"/>
      <c r="L32" s="16"/>
      <c r="M32" s="52"/>
      <c r="N32" s="59"/>
      <c r="O32" s="58" t="s">
        <v>135</v>
      </c>
      <c r="P32" s="16"/>
      <c r="Q32" s="16"/>
      <c r="R32" s="16"/>
      <c r="S32" s="16" t="s">
        <v>136</v>
      </c>
      <c r="T32" s="60"/>
    </row>
    <row r="33" spans="1:20">
      <c r="A33" s="7" t="s">
        <v>137</v>
      </c>
      <c r="B33" s="19" t="s">
        <v>138</v>
      </c>
      <c r="C33" s="9" t="s">
        <v>49</v>
      </c>
      <c r="D33" s="11">
        <v>2</v>
      </c>
      <c r="E33" s="11">
        <v>1</v>
      </c>
      <c r="F33" s="12">
        <v>6800</v>
      </c>
      <c r="G33" s="13">
        <v>3400</v>
      </c>
      <c r="H33" s="24"/>
      <c r="I33" s="16"/>
      <c r="J33" s="16"/>
      <c r="K33" s="16"/>
      <c r="L33" s="16"/>
      <c r="M33" s="61" t="s">
        <v>139</v>
      </c>
      <c r="N33" s="51"/>
      <c r="O33" s="51"/>
      <c r="P33" s="16"/>
      <c r="Q33" s="16"/>
      <c r="R33" s="16"/>
      <c r="S33" s="16"/>
      <c r="T33" s="60"/>
    </row>
    <row r="34" spans="1:20">
      <c r="A34" s="18"/>
      <c r="B34" s="27" t="s">
        <v>140</v>
      </c>
      <c r="C34" s="9" t="s">
        <v>41</v>
      </c>
      <c r="D34" s="10" t="s">
        <v>71</v>
      </c>
      <c r="E34" s="11">
        <v>2</v>
      </c>
      <c r="F34" s="12">
        <v>6800</v>
      </c>
      <c r="G34" s="13">
        <v>3400</v>
      </c>
      <c r="H34" s="24"/>
      <c r="I34" s="16"/>
      <c r="J34" s="16"/>
      <c r="K34" s="16"/>
      <c r="L34" s="25" t="s">
        <v>141</v>
      </c>
      <c r="M34" s="52"/>
      <c r="N34" s="53"/>
      <c r="O34" s="51" t="s">
        <v>142</v>
      </c>
      <c r="P34" s="16"/>
      <c r="Q34" s="16"/>
      <c r="R34" s="16"/>
      <c r="S34" s="16"/>
      <c r="T34" s="60"/>
    </row>
    <row r="35" spans="1:20">
      <c r="A35" s="18"/>
      <c r="B35" s="27" t="s">
        <v>143</v>
      </c>
      <c r="C35" s="9" t="s">
        <v>41</v>
      </c>
      <c r="D35" s="10" t="s">
        <v>71</v>
      </c>
      <c r="E35" s="11">
        <v>2</v>
      </c>
      <c r="F35" s="12">
        <v>6800</v>
      </c>
      <c r="G35" s="13">
        <v>3400</v>
      </c>
      <c r="H35" s="24"/>
      <c r="I35" s="16"/>
      <c r="J35" s="16"/>
      <c r="K35" s="16" t="s">
        <v>144</v>
      </c>
      <c r="L35" s="25"/>
      <c r="M35" s="52"/>
      <c r="N35" s="53"/>
      <c r="O35" s="51"/>
      <c r="P35" s="16"/>
      <c r="Q35" s="16" t="s">
        <v>144</v>
      </c>
      <c r="R35" s="16"/>
      <c r="S35" s="16"/>
      <c r="T35" s="60"/>
    </row>
    <row r="36" spans="1:20">
      <c r="A36" s="18"/>
      <c r="B36" s="27" t="s">
        <v>145</v>
      </c>
      <c r="C36" s="9" t="s">
        <v>33</v>
      </c>
      <c r="D36" s="10" t="s">
        <v>71</v>
      </c>
      <c r="E36" s="11">
        <v>3</v>
      </c>
      <c r="F36" s="43" t="s">
        <v>76</v>
      </c>
      <c r="G36" s="13">
        <v>2000</v>
      </c>
      <c r="H36" s="24"/>
      <c r="I36" s="16"/>
      <c r="J36" s="16"/>
      <c r="K36" s="16" t="s">
        <v>73</v>
      </c>
      <c r="L36" s="16"/>
      <c r="M36" s="52"/>
      <c r="N36" s="51" t="s">
        <v>104</v>
      </c>
      <c r="O36" s="51"/>
      <c r="P36" s="16"/>
      <c r="Q36" s="16"/>
      <c r="R36" s="16" t="s">
        <v>94</v>
      </c>
      <c r="S36" s="16"/>
      <c r="T36" s="60"/>
    </row>
    <row r="37" spans="1:20">
      <c r="A37" s="26"/>
      <c r="B37" s="19" t="s">
        <v>146</v>
      </c>
      <c r="C37" s="9" t="s">
        <v>22</v>
      </c>
      <c r="D37" s="10" t="s">
        <v>71</v>
      </c>
      <c r="E37" s="11">
        <v>2</v>
      </c>
      <c r="F37" s="43" t="s">
        <v>147</v>
      </c>
      <c r="G37" s="13">
        <v>2250</v>
      </c>
      <c r="H37" s="24" t="s">
        <v>99</v>
      </c>
      <c r="I37" s="16"/>
      <c r="J37" s="16"/>
      <c r="K37" s="16"/>
      <c r="L37" s="16"/>
      <c r="M37" s="16"/>
      <c r="N37" s="16"/>
      <c r="O37" s="16"/>
      <c r="P37" s="16" t="s">
        <v>148</v>
      </c>
      <c r="Q37" s="16"/>
      <c r="R37" s="16"/>
      <c r="S37" s="16"/>
      <c r="T37" s="60"/>
    </row>
    <row r="38" spans="1:20">
      <c r="A38" s="1" t="s">
        <v>149</v>
      </c>
      <c r="B38" s="8" t="s">
        <v>150</v>
      </c>
      <c r="C38" s="9" t="s">
        <v>49</v>
      </c>
      <c r="D38" s="10" t="s">
        <v>71</v>
      </c>
      <c r="E38" s="11">
        <v>2</v>
      </c>
      <c r="F38" s="43" t="s">
        <v>72</v>
      </c>
      <c r="G38" s="13">
        <v>2000</v>
      </c>
      <c r="H38" s="24"/>
      <c r="I38" s="16"/>
      <c r="J38" s="16"/>
      <c r="K38" s="40" t="s">
        <v>151</v>
      </c>
      <c r="L38" s="16"/>
      <c r="M38" s="40" t="s">
        <v>152</v>
      </c>
      <c r="N38" s="15"/>
      <c r="O38" s="40"/>
      <c r="P38" s="40"/>
      <c r="Q38" s="33"/>
      <c r="R38" s="16"/>
      <c r="S38" s="16"/>
      <c r="T38" s="60"/>
    </row>
    <row r="39" spans="1:20">
      <c r="A39" s="7" t="s">
        <v>153</v>
      </c>
      <c r="B39" s="43" t="s">
        <v>154</v>
      </c>
      <c r="C39" s="9" t="s">
        <v>58</v>
      </c>
      <c r="D39" s="9">
        <v>16</v>
      </c>
      <c r="E39" s="11">
        <v>1</v>
      </c>
      <c r="F39" s="12" t="s">
        <v>155</v>
      </c>
      <c r="G39" s="13">
        <v>2000</v>
      </c>
      <c r="H39" s="24"/>
      <c r="I39" s="16"/>
      <c r="J39" s="16" t="s">
        <v>156</v>
      </c>
      <c r="K39" s="16"/>
      <c r="L39" s="16" t="s">
        <v>157</v>
      </c>
      <c r="M39" s="16"/>
      <c r="N39" s="16" t="s">
        <v>43</v>
      </c>
      <c r="O39" s="16"/>
      <c r="P39" s="16" t="s">
        <v>158</v>
      </c>
      <c r="Q39" s="16"/>
      <c r="R39" s="16" t="s">
        <v>156</v>
      </c>
      <c r="S39" s="16"/>
      <c r="T39" s="60"/>
    </row>
    <row r="40" spans="1:20">
      <c r="A40" s="18"/>
      <c r="B40" s="8" t="s">
        <v>159</v>
      </c>
      <c r="C40" s="9" t="s">
        <v>58</v>
      </c>
      <c r="D40" s="10" t="s">
        <v>53</v>
      </c>
      <c r="E40" s="11">
        <v>1</v>
      </c>
      <c r="F40" s="12">
        <v>5600</v>
      </c>
      <c r="G40" s="13">
        <v>1867</v>
      </c>
      <c r="H40" s="24"/>
      <c r="I40" s="16"/>
      <c r="J40" s="16"/>
      <c r="K40" s="62"/>
      <c r="L40" s="16"/>
      <c r="M40" s="16" t="s">
        <v>160</v>
      </c>
      <c r="N40" s="16"/>
      <c r="O40" s="16"/>
      <c r="P40" s="16"/>
      <c r="Q40" s="16"/>
      <c r="R40" s="16"/>
      <c r="S40" s="16"/>
      <c r="T40" s="60"/>
    </row>
    <row r="41" spans="1:20">
      <c r="A41" s="18"/>
      <c r="B41" s="21" t="s">
        <v>161</v>
      </c>
      <c r="C41" s="9" t="s">
        <v>30</v>
      </c>
      <c r="D41" s="10" t="s">
        <v>53</v>
      </c>
      <c r="E41" s="11">
        <v>2</v>
      </c>
      <c r="F41" s="12">
        <v>5600</v>
      </c>
      <c r="G41" s="13">
        <v>1867</v>
      </c>
      <c r="H41" s="24"/>
      <c r="I41" s="16"/>
      <c r="J41" s="16"/>
      <c r="K41" s="16" t="s">
        <v>162</v>
      </c>
      <c r="L41" s="16"/>
      <c r="M41" s="16"/>
      <c r="N41" s="16"/>
      <c r="O41" s="16" t="s">
        <v>61</v>
      </c>
      <c r="P41" s="16"/>
      <c r="Q41" s="16"/>
      <c r="R41" s="16"/>
      <c r="S41" s="16"/>
      <c r="T41" s="60"/>
    </row>
    <row r="42" spans="1:20">
      <c r="A42" s="26"/>
      <c r="B42" s="21" t="s">
        <v>163</v>
      </c>
      <c r="C42" s="9" t="s">
        <v>58</v>
      </c>
      <c r="D42" s="10" t="s">
        <v>71</v>
      </c>
      <c r="E42" s="11">
        <v>2</v>
      </c>
      <c r="F42" s="12">
        <v>4000</v>
      </c>
      <c r="G42" s="13">
        <v>2000</v>
      </c>
      <c r="H42" s="16" t="s">
        <v>164</v>
      </c>
      <c r="I42" s="16"/>
      <c r="J42" s="16"/>
      <c r="K42" s="16"/>
      <c r="L42" s="16"/>
      <c r="M42" s="16"/>
      <c r="N42" s="16"/>
      <c r="O42" s="16"/>
      <c r="P42" s="16"/>
      <c r="Q42" s="16" t="s">
        <v>165</v>
      </c>
      <c r="R42" s="16"/>
      <c r="S42" s="16"/>
      <c r="T42" s="60"/>
    </row>
    <row r="43" spans="1:20">
      <c r="A43" s="7" t="s">
        <v>166</v>
      </c>
      <c r="B43" s="43" t="s">
        <v>167</v>
      </c>
      <c r="C43" s="10" t="s">
        <v>41</v>
      </c>
      <c r="D43" s="10" t="s">
        <v>71</v>
      </c>
      <c r="E43" s="9">
        <v>2</v>
      </c>
      <c r="F43" s="32">
        <v>4800</v>
      </c>
      <c r="G43" s="13">
        <v>2400</v>
      </c>
      <c r="H43" s="20"/>
      <c r="I43" s="63"/>
      <c r="J43" s="63"/>
      <c r="K43" s="63"/>
      <c r="L43" s="63"/>
      <c r="M43" s="63" t="s">
        <v>63</v>
      </c>
      <c r="N43" s="63"/>
      <c r="O43" s="63"/>
      <c r="P43" s="63" t="s">
        <v>63</v>
      </c>
      <c r="Q43" s="63"/>
      <c r="R43" s="63"/>
      <c r="S43" s="63"/>
      <c r="T43" s="60"/>
    </row>
    <row r="44" spans="1:20">
      <c r="A44" s="18"/>
      <c r="B44" s="32" t="s">
        <v>168</v>
      </c>
      <c r="C44" s="9" t="s">
        <v>41</v>
      </c>
      <c r="D44" s="9">
        <v>2</v>
      </c>
      <c r="E44" s="9">
        <v>2</v>
      </c>
      <c r="F44" s="32">
        <v>4800</v>
      </c>
      <c r="G44" s="13">
        <v>2400</v>
      </c>
      <c r="H44" s="20"/>
      <c r="I44" s="63"/>
      <c r="J44" s="63"/>
      <c r="K44" s="63"/>
      <c r="L44" s="63" t="s">
        <v>99</v>
      </c>
      <c r="M44" s="63"/>
      <c r="N44" s="63"/>
      <c r="O44" s="63"/>
      <c r="P44" s="63"/>
      <c r="Q44" s="63" t="s">
        <v>169</v>
      </c>
      <c r="R44" s="63"/>
      <c r="S44" s="63"/>
      <c r="T44" s="64"/>
    </row>
    <row r="45" spans="1:20">
      <c r="A45" s="18"/>
      <c r="B45" s="32" t="s">
        <v>170</v>
      </c>
      <c r="C45" s="9" t="s">
        <v>41</v>
      </c>
      <c r="D45" s="9">
        <v>3</v>
      </c>
      <c r="E45" s="9">
        <v>1</v>
      </c>
      <c r="F45" s="32">
        <v>5600</v>
      </c>
      <c r="G45" s="13">
        <v>1867</v>
      </c>
      <c r="H45" s="20"/>
      <c r="I45" s="63"/>
      <c r="J45" s="63"/>
      <c r="K45" s="63"/>
      <c r="L45" s="63"/>
      <c r="M45" s="63" t="s">
        <v>86</v>
      </c>
      <c r="N45" s="63"/>
      <c r="O45" s="63"/>
      <c r="P45" s="63"/>
      <c r="Q45" s="63"/>
      <c r="R45" s="63"/>
      <c r="S45" s="63"/>
      <c r="T45" s="64"/>
    </row>
    <row r="46" spans="1:20">
      <c r="A46" s="18"/>
      <c r="B46" s="32" t="s">
        <v>171</v>
      </c>
      <c r="C46" s="9" t="s">
        <v>58</v>
      </c>
      <c r="D46" s="9">
        <v>2</v>
      </c>
      <c r="E46" s="9">
        <v>1</v>
      </c>
      <c r="F46" s="32">
        <v>3000</v>
      </c>
      <c r="G46" s="13">
        <v>1500</v>
      </c>
      <c r="H46" s="20"/>
      <c r="I46" s="63"/>
      <c r="J46" s="63"/>
      <c r="K46" s="63"/>
      <c r="L46" s="63"/>
      <c r="M46" s="63"/>
      <c r="N46" s="63"/>
      <c r="O46" s="63" t="s">
        <v>73</v>
      </c>
      <c r="P46" s="63"/>
      <c r="Q46" s="63"/>
      <c r="R46" s="63"/>
      <c r="S46" s="63"/>
      <c r="T46" s="65"/>
    </row>
    <row r="47" spans="1:20">
      <c r="A47" s="26"/>
      <c r="B47" s="32" t="s">
        <v>172</v>
      </c>
      <c r="C47" s="9" t="s">
        <v>58</v>
      </c>
      <c r="D47" s="9">
        <v>3</v>
      </c>
      <c r="E47" s="9">
        <v>2</v>
      </c>
      <c r="F47" s="32">
        <v>4500</v>
      </c>
      <c r="G47" s="13">
        <v>1500</v>
      </c>
      <c r="H47" s="14"/>
      <c r="I47" s="55"/>
      <c r="J47" s="55"/>
      <c r="K47" s="55"/>
      <c r="L47" s="55"/>
      <c r="M47" s="55"/>
      <c r="N47" s="63" t="s">
        <v>87</v>
      </c>
      <c r="O47" s="55"/>
      <c r="P47" s="55"/>
      <c r="Q47" s="55" t="s">
        <v>25</v>
      </c>
      <c r="R47" s="55"/>
      <c r="S47" s="55"/>
      <c r="T47" s="66"/>
    </row>
    <row r="48" spans="1:20">
      <c r="A48" s="67"/>
      <c r="B48" s="68"/>
      <c r="C48" s="9"/>
      <c r="D48" s="68"/>
      <c r="E48" s="11">
        <f>SUM(E2:E47)</f>
        <v>91</v>
      </c>
      <c r="F48" s="43"/>
      <c r="G48" s="13"/>
      <c r="H48" s="11">
        <f>COUNTA(H2:H47)</f>
        <v>4</v>
      </c>
      <c r="I48" s="11"/>
      <c r="J48" s="11">
        <f t="shared" ref="J48:S48" si="0">COUNTA(J2:J47)</f>
        <v>8</v>
      </c>
      <c r="K48" s="11">
        <f t="shared" si="0"/>
        <v>9</v>
      </c>
      <c r="L48" s="11">
        <f t="shared" si="0"/>
        <v>10</v>
      </c>
      <c r="M48" s="11">
        <f t="shared" si="0"/>
        <v>12</v>
      </c>
      <c r="N48" s="11">
        <f t="shared" si="0"/>
        <v>12</v>
      </c>
      <c r="O48" s="11">
        <f t="shared" si="0"/>
        <v>9</v>
      </c>
      <c r="P48" s="11">
        <f t="shared" si="0"/>
        <v>11</v>
      </c>
      <c r="Q48" s="11">
        <f t="shared" si="0"/>
        <v>11</v>
      </c>
      <c r="R48" s="11">
        <f t="shared" si="0"/>
        <v>13</v>
      </c>
      <c r="S48" s="11">
        <f t="shared" si="0"/>
        <v>3</v>
      </c>
      <c r="T48" s="69"/>
    </row>
  </sheetData>
  <mergeCells count="9">
    <mergeCell ref="A2:A6"/>
    <mergeCell ref="A7:A8"/>
    <mergeCell ref="A9:A13"/>
    <mergeCell ref="A14:A19"/>
    <mergeCell ref="A20:A23"/>
    <mergeCell ref="A24:A32"/>
    <mergeCell ref="A33:A37"/>
    <mergeCell ref="A39:A42"/>
    <mergeCell ref="A43:A47"/>
  </mergeCells>
  <hyperlinks>
    <hyperlink ref="B2" r:id="rId1" display="首席财务官高级研修班（第34期）"/>
    <hyperlink ref="B3" r:id="rId2" display="企业经营管理“头雁人才”培养计划——产融结合助力新质生产力培育研修班（第2期）"/>
    <hyperlink ref="B5" r:id="rId3" display="国有企业高级财务管理人员研修班"/>
    <hyperlink ref="B6" r:id="rId4" display="AI浪潮下财务人员履职能力提升"/>
    <hyperlink ref="B8" r:id="rId5" display="非财高管的财务管理与价值创造"/>
    <hyperlink ref="B9" r:id="rId6" display="业财融合实务与财务BP核心能力建设"/>
    <hyperlink ref="B10" r:id="rId7" display="一利五率指标体系与企业高质量发展"/>
    <hyperlink ref="B11" r:id="rId8" display="全面预算管理体系建设与标杆企业实践"/>
    <hyperlink ref="B12" r:id="rId9" display="企业成本管控全流程优化：方法、工具与难点、痛点解析"/>
    <hyperlink ref="B14" r:id="rId10" display="公司并购与重组"/>
    <hyperlink ref="B15" r:id="rId11" display="企业IPO财税规范"/>
    <hyperlink ref="B16" r:id="rId12" display="市值管理实务与案例"/>
    <hyperlink ref="B17" r:id="rId13" display="公司估值与企业价值管理"/>
    <hyperlink ref="B18" r:id="rId14" display="财务分析与企业价值创造"/>
    <hyperlink ref="B19" r:id="rId15" display="微咨询课程：资金管理与司库体系建设"/>
    <hyperlink ref="B20" r:id="rId16" display="企业数字化内控实践"/>
    <hyperlink ref="B22" r:id="rId17" display="内部控制审计实务与案例"/>
    <hyperlink ref="B23" r:id="rId18" display="高风险业务经营价值挖掘与风控实务"/>
    <hyperlink ref="B24" r:id="rId19" display="内部审计负责人与后备人才岗位能力提升"/>
    <hyperlink ref="B25" r:id="rId20" display="内部审计专业能力提升：高舞弊业务审计实务与案例"/>
    <hyperlink ref="B26" r:id="rId21" display="“人工智能+”驱动下的内部审计管理与变革"/>
    <hyperlink ref="B27" r:id="rId22" display="风险导向审计实务与案例"/>
    <hyperlink ref="B28" r:id="rId23" display="工程项目审计实务"/>
    <hyperlink ref="B30" r:id="rId24" display="AI浪潮下采购全流程风险管理与审计实务"/>
    <hyperlink ref="B31" r:id="rId25" display="经济责任审计实务与案例：穿透式核查与整改闭环管理"/>
    <hyperlink ref="B32" r:id="rId26" display="合规审计与反舞弊调查"/>
    <hyperlink ref="B33" r:id="rId27" display="走进蒙牛：数字化转型之智慧财务共享"/>
    <hyperlink ref="B37" r:id="rId28" display="人工智能大模型财务应用暨电子凭证会计数据标准应用与会计档案无纸化"/>
    <hyperlink ref="B38" r:id="rId29" display="会计准则执行中热点难点问题解析"/>
    <hyperlink ref="B40" r:id="rId30" display="新型监管机制下的企业税务稽查与风险应对"/>
  </hyperlinks>
  <pageMargins left="0.25" right="0.25" top="0.75" bottom="0.75" header="0.3" footer="0.3"/>
  <pageSetup paperSize="8" scale="8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caoning</dc:creator>
  <cp:lastModifiedBy>柳絮</cp:lastModifiedBy>
  <dcterms:created xsi:type="dcterms:W3CDTF">2015-06-05T18:19:00Z</dcterms:created>
  <cp:lastPrinted>2025-11-03T05:51:00Z</cp:lastPrinted>
  <dcterms:modified xsi:type="dcterms:W3CDTF">2025-11-08T04:36:15Z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9E0DDA11A8B84866B3137D6BF319B994_12</vt:lpwstr>
  </property>
  <property fmtid="{D5CDD505-2E9C-101B-9397-08002B2CF9AE}" pid="3" name="KSOProductBuildVer">
    <vt:lpwstr>2052-12.1.0.23542</vt:lpwstr>
  </property>
</Properties>
</file>